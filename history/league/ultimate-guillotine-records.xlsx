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inners" sheetId="1" state="visible" r:id="rId1"/>
    <sheet name="2025" sheetId="2" state="visible" r:id="rId2"/>
    <sheet name="2023" sheetId="3" state="visible" r:id="rId3"/>
    <sheet name="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mmmm d"/>
    <numFmt numFmtId="166" formatCode="mmm d"/>
  </numFmts>
  <fonts count="19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FFFFFFFF"/>
      <sz val="12"/>
      <scheme val="minor"/>
    </font>
    <font>
      <name val="Arial"/>
      <b val="1"/>
      <color theme="1"/>
      <sz val="12"/>
      <scheme val="minor"/>
    </font>
    <font>
      <name val="Arial"/>
      <b val="1"/>
      <color theme="1"/>
      <sz val="12"/>
      <u val="single"/>
      <scheme val="minor"/>
    </font>
    <font>
      <name val="Arial"/>
      <b val="1"/>
      <color theme="1"/>
      <sz val="12"/>
      <u val="single"/>
      <scheme val="minor"/>
    </font>
    <font>
      <name val="Arial"/>
      <b val="1"/>
      <color theme="1"/>
      <sz val="12"/>
      <u val="single"/>
      <scheme val="minor"/>
    </font>
    <font>
      <name val="Arial"/>
      <color theme="1"/>
      <sz val="12"/>
      <scheme val="minor"/>
    </font>
    <font>
      <name val="Arial"/>
      <color theme="1"/>
      <sz val="13"/>
      <scheme val="minor"/>
    </font>
    <font>
      <name val="Arial"/>
      <b val="1"/>
      <color theme="1"/>
      <sz val="13"/>
      <scheme val="minor"/>
    </font>
    <font/>
    <font>
      <name val="Arial"/>
      <b val="1"/>
      <color rgb="FF000000"/>
      <sz val="13"/>
      <scheme val="minor"/>
    </font>
    <font>
      <name val="Lato"/>
      <color rgb="FF000000"/>
      <sz val="10"/>
    </font>
    <font>
      <name val="Lato"/>
      <color rgb="FF000000"/>
      <sz val="10"/>
      <u val="single"/>
    </font>
    <font>
      <name val="Arial"/>
      <b val="1"/>
      <color theme="1"/>
      <u val="single"/>
      <scheme val="minor"/>
    </font>
    <font>
      <name val="Lato"/>
      <color rgb="FF212529"/>
      <sz val="12"/>
    </font>
    <font>
      <name val="Lato"/>
      <b val="1"/>
      <color rgb="FF212529"/>
      <sz val="12"/>
    </font>
  </fonts>
  <fills count="16">
    <fill>
      <patternFill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1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0" pivotButton="0" quotePrefix="0" xfId="0"/>
    <xf numFmtId="0" fontId="2" fillId="3" borderId="0" pivotButton="0" quotePrefix="0" xfId="0"/>
    <xf numFmtId="0" fontId="4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2" borderId="3" applyAlignment="1" pivotButton="0" quotePrefix="0" xfId="0">
      <alignment horizontal="center" vertical="center"/>
    </xf>
    <xf numFmtId="0" fontId="5" fillId="4" borderId="4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4" fontId="2" fillId="3" borderId="0" pivotButton="0" quotePrefix="0" xfId="0"/>
    <xf numFmtId="0" fontId="7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wrapText="1"/>
    </xf>
    <xf numFmtId="0" fontId="8" fillId="4" borderId="5" applyAlignment="1" pivotButton="0" quotePrefix="0" xfId="0">
      <alignment horizontal="center" vertical="center"/>
    </xf>
    <xf numFmtId="0" fontId="2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8" borderId="4" pivotButton="0" quotePrefix="0" xfId="0"/>
    <xf numFmtId="0" fontId="9" fillId="8" borderId="0" applyAlignment="1" pivotButton="0" quotePrefix="0" xfId="0">
      <alignment horizontal="center"/>
    </xf>
    <xf numFmtId="0" fontId="9" fillId="8" borderId="5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8" borderId="6" pivotButton="0" quotePrefix="0" xfId="0"/>
    <xf numFmtId="0" fontId="9" fillId="8" borderId="7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10" borderId="8" pivotButton="0" quotePrefix="0" xfId="0"/>
    <xf numFmtId="0" fontId="11" fillId="10" borderId="9" pivotButton="0" quotePrefix="0" xfId="0"/>
    <xf numFmtId="0" fontId="11" fillId="10" borderId="10" pivotButton="0" quotePrefix="0" xfId="0"/>
    <xf numFmtId="0" fontId="11" fillId="10" borderId="8" applyAlignment="1" pivotButton="0" quotePrefix="0" xfId="0">
      <alignment horizontal="center"/>
    </xf>
    <xf numFmtId="0" fontId="12" fillId="0" borderId="11" pivotButton="0" quotePrefix="0" xfId="0"/>
    <xf numFmtId="0" fontId="11" fillId="10" borderId="11" pivotButton="0" quotePrefix="0" xfId="0"/>
    <xf numFmtId="0" fontId="11" fillId="10" borderId="12" applyAlignment="1" pivotButton="0" quotePrefix="0" xfId="0">
      <alignment horizontal="center"/>
    </xf>
    <xf numFmtId="0" fontId="11" fillId="10" borderId="13" applyAlignment="1" pivotButton="0" quotePrefix="0" xfId="0">
      <alignment horizontal="center"/>
    </xf>
    <xf numFmtId="0" fontId="11" fillId="10" borderId="7" applyAlignment="1" pivotButton="0" quotePrefix="0" xfId="0">
      <alignment horizontal="center"/>
    </xf>
    <xf numFmtId="0" fontId="9" fillId="8" borderId="7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9" fillId="8" borderId="15" applyAlignment="1" pivotButton="0" quotePrefix="0" xfId="0">
      <alignment horizontal="center"/>
    </xf>
    <xf numFmtId="0" fontId="2" fillId="11" borderId="16" applyAlignment="1" pivotButton="0" quotePrefix="0" xfId="0">
      <alignment horizontal="center"/>
    </xf>
    <xf numFmtId="0" fontId="5" fillId="12" borderId="4" pivotButton="0" quotePrefix="0" xfId="0"/>
    <xf numFmtId="0" fontId="2" fillId="11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1" borderId="17" applyAlignment="1" pivotButton="0" quotePrefix="0" xfId="0">
      <alignment horizontal="center"/>
    </xf>
    <xf numFmtId="0" fontId="5" fillId="12" borderId="18" pivotButton="0" quotePrefix="0" xfId="0"/>
    <xf numFmtId="0" fontId="9" fillId="12" borderId="19" applyAlignment="1" pivotButton="0" quotePrefix="0" xfId="0">
      <alignment horizontal="center"/>
    </xf>
    <xf numFmtId="0" fontId="2" fillId="13" borderId="0" pivotButton="0" quotePrefix="0" xfId="0"/>
    <xf numFmtId="0" fontId="9" fillId="12" borderId="20" applyAlignment="1" pivotButton="0" quotePrefix="0" xfId="0">
      <alignment horizontal="center"/>
    </xf>
    <xf numFmtId="0" fontId="13" fillId="14" borderId="1" applyAlignment="1" pivotButton="0" quotePrefix="0" xfId="0">
      <alignment horizontal="center" vertical="center"/>
    </xf>
    <xf numFmtId="0" fontId="14" fillId="14" borderId="2" applyAlignment="1" pivotButton="0" quotePrefix="0" xfId="0">
      <alignment vertical="center" wrapText="1"/>
    </xf>
    <xf numFmtId="0" fontId="15" fillId="14" borderId="2" applyAlignment="1" pivotButton="0" quotePrefix="0" xfId="0">
      <alignment vertical="center" wrapText="1"/>
    </xf>
    <xf numFmtId="0" fontId="0" fillId="14" borderId="2" applyAlignment="1" pivotButton="0" quotePrefix="0" xfId="0">
      <alignment vertical="center"/>
    </xf>
    <xf numFmtId="0" fontId="14" fillId="14" borderId="2" applyAlignment="1" pivotButton="0" quotePrefix="0" xfId="0">
      <alignment vertical="center" wrapText="1"/>
    </xf>
    <xf numFmtId="0" fontId="14" fillId="14" borderId="3" applyAlignment="1" pivotButton="0" quotePrefix="0" xfId="0">
      <alignment vertical="center" wrapText="1"/>
    </xf>
    <xf numFmtId="165" fontId="2" fillId="0" borderId="0" pivotButton="0" quotePrefix="0" xfId="0"/>
    <xf numFmtId="0" fontId="2" fillId="0" borderId="0" pivotButton="0" quotePrefix="0" xfId="0"/>
    <xf numFmtId="0" fontId="16" fillId="11" borderId="0" applyAlignment="1" pivotButton="0" quotePrefix="0" xfId="0">
      <alignment horizontal="center"/>
    </xf>
    <xf numFmtId="166" fontId="2" fillId="0" borderId="0" pivotButton="0" quotePrefix="0" xfId="0"/>
    <xf numFmtId="0" fontId="2" fillId="11" borderId="12" applyAlignment="1" pivotButton="0" quotePrefix="0" xfId="0">
      <alignment horizontal="center"/>
    </xf>
    <xf numFmtId="0" fontId="2" fillId="11" borderId="7" applyAlignment="1" pivotButton="0" quotePrefix="0" xfId="0">
      <alignment horizontal="center"/>
    </xf>
    <xf numFmtId="0" fontId="2" fillId="11" borderId="7" applyAlignment="1" pivotButton="0" quotePrefix="0" xfId="0">
      <alignment horizontal="center"/>
    </xf>
    <xf numFmtId="0" fontId="2" fillId="11" borderId="14" applyAlignment="1" pivotButton="0" quotePrefix="0" xfId="0">
      <alignment horizontal="center"/>
    </xf>
    <xf numFmtId="0" fontId="17" fillId="15" borderId="0" applyAlignment="1" pivotButton="0" quotePrefix="0" xfId="0">
      <alignment wrapText="1"/>
    </xf>
    <xf numFmtId="0" fontId="18" fillId="15" borderId="0" applyAlignment="1" pivotButton="0" quotePrefix="0" xfId="0">
      <alignment wrapText="1"/>
    </xf>
    <xf numFmtId="0" fontId="0" fillId="0" borderId="0" pivotButton="0" quotePrefix="0" xfId="0"/>
    <xf numFmtId="0" fontId="11" fillId="10" borderId="9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lineups.com/betting/new-york-sports-betting/" TargetMode="External" Id="rId1" /><Relationship Type="http://schemas.openxmlformats.org/officeDocument/2006/relationships/hyperlink" Target="https://www.lineups.com/betting/new-york-sports-betting/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"/>
  <sheetViews>
    <sheetView workbookViewId="0">
      <selection activeCell="A1" sqref="A1"/>
    </sheetView>
  </sheetViews>
  <sheetFormatPr baseColWidth="8" defaultColWidth="12.63" defaultRowHeight="15.75" customHeight="1"/>
  <sheetData>
    <row r="1"/>
    <row r="2">
      <c r="B2" s="58" t="inlineStr">
        <is>
          <t>year</t>
        </is>
      </c>
      <c r="C2" s="58" t="inlineStr">
        <is>
          <t>winner</t>
        </is>
      </c>
    </row>
    <row r="3">
      <c r="B3" s="58" t="n">
        <v>2019</v>
      </c>
      <c r="C3" s="58" t="inlineStr">
        <is>
          <t xml:space="preserve">Michael </t>
        </is>
      </c>
    </row>
    <row r="4">
      <c r="B4" s="58" t="n">
        <v>2020</v>
      </c>
      <c r="C4" s="58" t="inlineStr">
        <is>
          <t xml:space="preserve">Michael </t>
        </is>
      </c>
    </row>
    <row r="5">
      <c r="B5" s="58" t="n">
        <v>2021</v>
      </c>
      <c r="C5" s="58" t="inlineStr">
        <is>
          <t>Brandon Scott</t>
        </is>
      </c>
    </row>
    <row r="6">
      <c r="B6" s="58" t="n">
        <v>2022</v>
      </c>
      <c r="C6" s="58" t="inlineStr">
        <is>
          <t>Ben</t>
        </is>
      </c>
      <c r="D6" s="58" t="inlineStr">
        <is>
          <t>Daniel</t>
        </is>
      </c>
    </row>
    <row r="7">
      <c r="B7" s="58" t="n">
        <v>2023</v>
      </c>
      <c r="C7" s="58" t="inlineStr">
        <is>
          <t>Nick Silviera</t>
        </is>
      </c>
    </row>
    <row r="8">
      <c r="B8" s="58" t="n">
        <v>2024</v>
      </c>
      <c r="C8" s="58" t="inlineStr">
        <is>
          <t>Nick Silviera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9"/>
  <sheetViews>
    <sheetView workbookViewId="0">
      <selection activeCell="A1" sqref="A1"/>
    </sheetView>
  </sheetViews>
  <sheetFormatPr baseColWidth="8" defaultColWidth="12.63" defaultRowHeight="15.75" customHeight="1"/>
  <sheetData>
    <row r="1">
      <c r="E1" s="58" t="inlineStr">
        <is>
          <t>paid</t>
        </is>
      </c>
    </row>
    <row r="2">
      <c r="B2" s="58" t="n">
        <v>1</v>
      </c>
      <c r="C2" s="6" t="inlineStr">
        <is>
          <t>Ben</t>
        </is>
      </c>
      <c r="D2" s="6" t="inlineStr">
        <is>
          <t>Ray</t>
        </is>
      </c>
      <c r="E2" s="58" t="inlineStr">
        <is>
          <t>x</t>
        </is>
      </c>
    </row>
    <row r="3">
      <c r="B3" s="58">
        <f>B2+1</f>
        <v/>
      </c>
      <c r="C3" s="6" t="inlineStr">
        <is>
          <t>Daniel</t>
        </is>
      </c>
      <c r="D3" s="6" t="inlineStr">
        <is>
          <t>Ripple</t>
        </is>
      </c>
      <c r="E3" s="58" t="inlineStr">
        <is>
          <t>x</t>
        </is>
      </c>
    </row>
    <row r="4">
      <c r="B4" s="58">
        <f>B3+1</f>
        <v/>
      </c>
      <c r="C4" s="6" t="inlineStr">
        <is>
          <t>Derek</t>
        </is>
      </c>
      <c r="D4" s="6" t="inlineStr">
        <is>
          <t>Joe</t>
        </is>
      </c>
      <c r="E4" s="58" t="inlineStr">
        <is>
          <t>x</t>
        </is>
      </c>
    </row>
    <row r="5">
      <c r="B5" s="58">
        <f>B4+1</f>
        <v/>
      </c>
      <c r="C5" s="6" t="inlineStr">
        <is>
          <t>Ryland</t>
        </is>
      </c>
      <c r="D5" s="6" t="inlineStr">
        <is>
          <t>Radanovich</t>
        </is>
      </c>
      <c r="E5" s="58" t="inlineStr">
        <is>
          <t>x</t>
        </is>
      </c>
      <c r="G5" s="58" t="inlineStr">
        <is>
          <t>removed</t>
        </is>
      </c>
    </row>
    <row r="6">
      <c r="B6" s="58">
        <f>B5+1</f>
        <v/>
      </c>
      <c r="C6" s="6" t="inlineStr">
        <is>
          <t>Evan</t>
        </is>
      </c>
      <c r="D6" s="6" t="inlineStr">
        <is>
          <t>Cheung</t>
        </is>
      </c>
      <c r="E6" s="58" t="inlineStr">
        <is>
          <t>x</t>
        </is>
      </c>
      <c r="F6" s="58" t="n"/>
      <c r="G6" s="58" t="inlineStr">
        <is>
          <t>Alistair</t>
        </is>
      </c>
      <c r="H6" s="58" t="inlineStr">
        <is>
          <t>Maxwell</t>
        </is>
      </c>
    </row>
    <row r="7">
      <c r="B7" s="58">
        <f>B6+1</f>
        <v/>
      </c>
      <c r="C7" s="6" t="inlineStr">
        <is>
          <t>Max</t>
        </is>
      </c>
      <c r="D7" s="6" t="inlineStr">
        <is>
          <t>Teranen</t>
        </is>
      </c>
      <c r="E7" s="58" t="inlineStr">
        <is>
          <t>x</t>
        </is>
      </c>
      <c r="F7" s="58" t="n"/>
      <c r="G7" s="58" t="inlineStr">
        <is>
          <t>Bryan Yeung</t>
        </is>
      </c>
    </row>
    <row r="8">
      <c r="B8" s="58">
        <f>B7+1</f>
        <v/>
      </c>
      <c r="C8" s="6" t="inlineStr">
        <is>
          <t>Brandon</t>
        </is>
      </c>
      <c r="D8" s="6" t="inlineStr">
        <is>
          <t>Lutz</t>
        </is>
      </c>
      <c r="E8" s="58" t="inlineStr">
        <is>
          <t>x</t>
        </is>
      </c>
      <c r="F8" s="58" t="n"/>
      <c r="G8" s="58" t="inlineStr">
        <is>
          <t>Ryan</t>
        </is>
      </c>
    </row>
    <row r="9">
      <c r="B9" s="58">
        <f>B8+1</f>
        <v/>
      </c>
      <c r="C9" s="6" t="inlineStr">
        <is>
          <t>Brandon</t>
        </is>
      </c>
      <c r="D9" s="6" t="inlineStr">
        <is>
          <t>Scott</t>
        </is>
      </c>
      <c r="F9" s="58" t="n"/>
      <c r="G9" s="58" t="inlineStr">
        <is>
          <t>Michael</t>
        </is>
      </c>
    </row>
    <row r="10">
      <c r="B10" s="58">
        <f>B9+1</f>
        <v/>
      </c>
      <c r="C10" s="6" t="inlineStr">
        <is>
          <t>Nick</t>
        </is>
      </c>
      <c r="D10" s="6" t="inlineStr">
        <is>
          <t>Rodriguez</t>
        </is>
      </c>
      <c r="E10" s="58" t="inlineStr">
        <is>
          <t>x</t>
        </is>
      </c>
    </row>
    <row r="11">
      <c r="B11" s="58">
        <f>B10+1</f>
        <v/>
      </c>
      <c r="C11" s="6" t="inlineStr">
        <is>
          <t>Nick</t>
        </is>
      </c>
      <c r="D11" s="6" t="inlineStr">
        <is>
          <t>Silveira</t>
        </is>
      </c>
      <c r="E11" s="58" t="inlineStr">
        <is>
          <t>x</t>
        </is>
      </c>
    </row>
    <row r="12">
      <c r="B12" s="58">
        <f>B11+1</f>
        <v/>
      </c>
      <c r="C12" s="6" t="inlineStr">
        <is>
          <t>Charlie</t>
        </is>
      </c>
      <c r="D12" s="6" t="inlineStr">
        <is>
          <t>Hoberg</t>
        </is>
      </c>
    </row>
    <row r="13">
      <c r="B13" s="58">
        <f>B12+1</f>
        <v/>
      </c>
      <c r="C13" s="6" t="inlineStr">
        <is>
          <t>Josh</t>
        </is>
      </c>
      <c r="D13" s="6" t="inlineStr">
        <is>
          <t>Ray</t>
        </is>
      </c>
      <c r="E13" s="58" t="inlineStr">
        <is>
          <t>x</t>
        </is>
      </c>
    </row>
    <row r="14">
      <c r="B14" s="58">
        <f>B13+1</f>
        <v/>
      </c>
      <c r="C14" s="6" t="inlineStr">
        <is>
          <t>Sean</t>
        </is>
      </c>
      <c r="D14" s="6" t="inlineStr">
        <is>
          <t>Conway</t>
        </is>
      </c>
      <c r="E14" s="58" t="inlineStr">
        <is>
          <t>x</t>
        </is>
      </c>
    </row>
    <row r="15">
      <c r="B15" s="58">
        <f>B14+1</f>
        <v/>
      </c>
      <c r="C15" s="6" t="inlineStr">
        <is>
          <t>Kyle</t>
        </is>
      </c>
      <c r="D15" s="6" t="inlineStr">
        <is>
          <t>Bowe</t>
        </is>
      </c>
      <c r="E15" s="58" t="inlineStr">
        <is>
          <t>x</t>
        </is>
      </c>
    </row>
    <row r="16">
      <c r="B16" s="58">
        <f>B15+1</f>
        <v/>
      </c>
      <c r="C16" s="6" t="inlineStr">
        <is>
          <t>David</t>
        </is>
      </c>
      <c r="D16" s="6" t="inlineStr">
        <is>
          <t>Wiers</t>
        </is>
      </c>
      <c r="E16" s="58" t="inlineStr">
        <is>
          <t>x</t>
        </is>
      </c>
    </row>
    <row r="17">
      <c r="B17" s="58">
        <f>B16+1</f>
        <v/>
      </c>
      <c r="C17" s="15" t="inlineStr">
        <is>
          <t>Joel</t>
        </is>
      </c>
      <c r="D17" s="15" t="inlineStr">
        <is>
          <t>Redman</t>
        </is>
      </c>
      <c r="E17" s="58" t="inlineStr">
        <is>
          <t>x</t>
        </is>
      </c>
    </row>
    <row r="18">
      <c r="B18" s="58">
        <f>B17+1</f>
        <v/>
      </c>
      <c r="C18" s="15" t="inlineStr">
        <is>
          <t>Ben</t>
        </is>
      </c>
      <c r="D18" s="15" t="inlineStr">
        <is>
          <t>Terry</t>
        </is>
      </c>
      <c r="E18" s="58" t="inlineStr">
        <is>
          <t>x</t>
        </is>
      </c>
    </row>
    <row r="19">
      <c r="B19" s="58" t="n">
        <v>18</v>
      </c>
      <c r="C19" s="15" t="inlineStr">
        <is>
          <t>Matt</t>
        </is>
      </c>
      <c r="D19" s="15" t="inlineStr">
        <is>
          <t>Durgin</t>
        </is>
      </c>
      <c r="E19" s="5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A7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63" customWidth="1" style="67" min="1" max="1"/>
    <col width="13.25" customWidth="1" style="67" min="15" max="15"/>
    <col width="17.25" customWidth="1" style="67" min="16" max="16"/>
    <col width="14.88" customWidth="1" style="67" min="17" max="17"/>
    <col width="3.25" customWidth="1" style="67" min="21" max="21"/>
  </cols>
  <sheetData>
    <row r="1">
      <c r="A1" s="1" t="n"/>
      <c r="E1" s="58" t="n"/>
    </row>
    <row r="2"/>
    <row r="3" ht="33" customHeight="1" s="67">
      <c r="B3" s="4" t="inlineStr">
        <is>
          <t>Week</t>
        </is>
      </c>
      <c r="C3" s="7" t="n">
        <v>1</v>
      </c>
      <c r="D3" s="7">
        <f>C3+1</f>
        <v/>
      </c>
      <c r="E3" s="7">
        <f>D3+1</f>
        <v/>
      </c>
      <c r="F3" s="7">
        <f>E3+1</f>
        <v/>
      </c>
      <c r="G3" s="7">
        <f>F3+1</f>
        <v/>
      </c>
      <c r="H3" s="7">
        <f>G3+1</f>
        <v/>
      </c>
      <c r="I3" s="7">
        <f>H3+1</f>
        <v/>
      </c>
      <c r="J3" s="7">
        <f>I3+1</f>
        <v/>
      </c>
      <c r="K3" s="7">
        <f>J3+1</f>
        <v/>
      </c>
      <c r="L3" s="7">
        <f>K3+1</f>
        <v/>
      </c>
      <c r="M3" s="7">
        <f>L3+1</f>
        <v/>
      </c>
      <c r="N3" s="7">
        <f>M3+1</f>
        <v/>
      </c>
      <c r="O3" s="7">
        <f>N3+1</f>
        <v/>
      </c>
      <c r="P3" s="7">
        <f>O3+1</f>
        <v/>
      </c>
      <c r="Q3" s="7">
        <f>P3+1</f>
        <v/>
      </c>
      <c r="R3" s="7">
        <f>Q3+1</f>
        <v/>
      </c>
      <c r="S3" s="9">
        <f>R3+1</f>
        <v/>
      </c>
    </row>
    <row r="4" ht="33" customHeight="1" s="67">
      <c r="B4" s="10" t="inlineStr">
        <is>
          <t>Safe</t>
        </is>
      </c>
      <c r="C4" s="11" t="n">
        <v>20</v>
      </c>
      <c r="D4" s="11" t="n">
        <v>18</v>
      </c>
      <c r="E4" s="14">
        <f>E9-E5-E6-E7</f>
        <v/>
      </c>
      <c r="F4" s="14">
        <f>F9-F5-F6-F7</f>
        <v/>
      </c>
      <c r="G4" s="14">
        <f>G9-G5-G6-G7</f>
        <v/>
      </c>
      <c r="H4" s="14">
        <f>H9-H5-H6-H7</f>
        <v/>
      </c>
      <c r="I4" s="14">
        <f>I9-I5-I6-I7</f>
        <v/>
      </c>
      <c r="J4" s="14">
        <f>J9-J5-J6-J7</f>
        <v/>
      </c>
      <c r="K4" s="14">
        <f>K9-K5-K6-K7</f>
        <v/>
      </c>
      <c r="L4" s="14">
        <f>L9-L5-L6-L7</f>
        <v/>
      </c>
      <c r="M4" s="14">
        <f>M9-M5-M6-M7</f>
        <v/>
      </c>
      <c r="N4" s="14">
        <f>N9-N5-N6-N7</f>
        <v/>
      </c>
      <c r="O4" s="14">
        <f>O9-O5-O6-O7</f>
        <v/>
      </c>
      <c r="P4" s="14">
        <f>P9-P5-P6-P7</f>
        <v/>
      </c>
      <c r="Q4" s="14">
        <f>Q9-Q5-Q6-Q7</f>
        <v/>
      </c>
      <c r="R4" s="14">
        <f>R9-R5-R6-R7</f>
        <v/>
      </c>
      <c r="S4" s="17">
        <f>S9-S5-S6-S7</f>
        <v/>
      </c>
      <c r="T4" s="19" t="inlineStr">
        <is>
          <t>Winner!</t>
        </is>
      </c>
      <c r="U4" s="20" t="n"/>
      <c r="V4" s="20" t="n"/>
      <c r="W4" s="20" t="n"/>
      <c r="X4" s="20" t="n"/>
      <c r="Y4" s="20" t="n"/>
      <c r="Z4" s="20" t="n"/>
      <c r="AA4" s="20" t="n"/>
    </row>
    <row r="5">
      <c r="B5" s="21" t="inlineStr">
        <is>
          <t>Gulag</t>
        </is>
      </c>
      <c r="C5" s="22" t="n">
        <v>0</v>
      </c>
      <c r="D5" s="22" t="n">
        <v>2</v>
      </c>
      <c r="E5" s="22" t="n">
        <v>2</v>
      </c>
      <c r="F5" s="22" t="n">
        <v>2</v>
      </c>
      <c r="G5" s="22" t="n">
        <v>2</v>
      </c>
      <c r="H5" s="22" t="n">
        <v>2</v>
      </c>
      <c r="I5" s="22" t="n">
        <v>2</v>
      </c>
      <c r="J5" s="22" t="n">
        <v>0</v>
      </c>
      <c r="K5" s="22" t="n">
        <v>2</v>
      </c>
      <c r="L5" s="22" t="n">
        <v>2</v>
      </c>
      <c r="M5" s="22" t="n">
        <v>2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3" t="n">
        <v>0</v>
      </c>
    </row>
    <row r="6">
      <c r="B6" s="21" t="inlineStr">
        <is>
          <t>Gladiator</t>
        </is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4" t="n">
        <v>4</v>
      </c>
      <c r="K6" s="22" t="n">
        <v>0</v>
      </c>
      <c r="L6" s="22" t="n">
        <v>0</v>
      </c>
      <c r="M6" s="22" t="n">
        <v>0</v>
      </c>
      <c r="N6" s="24" t="n">
        <v>3</v>
      </c>
      <c r="O6" s="22" t="n">
        <v>0</v>
      </c>
      <c r="P6" s="22" t="n">
        <v>0</v>
      </c>
      <c r="Q6" s="22" t="n">
        <v>0</v>
      </c>
      <c r="R6" s="22" t="n">
        <v>0</v>
      </c>
      <c r="S6" s="23" t="n">
        <v>0</v>
      </c>
    </row>
    <row r="7">
      <c r="B7" s="25" t="inlineStr">
        <is>
          <t>Cut</t>
        </is>
      </c>
      <c r="C7" s="38" t="n">
        <v>0</v>
      </c>
      <c r="D7" s="38">
        <f>C7+sum(C5:C6)</f>
        <v/>
      </c>
      <c r="E7" s="38">
        <f>D7+sum(D5:D6)-1</f>
        <v/>
      </c>
      <c r="F7" s="38">
        <f>E7+sum(E5:E6)-1</f>
        <v/>
      </c>
      <c r="G7" s="38">
        <f>F7+sum(F5:F6)-1</f>
        <v/>
      </c>
      <c r="H7" s="38">
        <f>G7+sum(G5:G6)-1</f>
        <v/>
      </c>
      <c r="I7" s="38">
        <f>H7+sum(H5:H6)-1</f>
        <v/>
      </c>
      <c r="J7" s="38">
        <f>I7+sum(I5:I6)-1</f>
        <v/>
      </c>
      <c r="K7" s="38">
        <f>J7+sum(J5:J6)-1</f>
        <v/>
      </c>
      <c r="L7" s="38">
        <f>K7+sum(K5:K6)-1</f>
        <v/>
      </c>
      <c r="M7" s="38">
        <f>L7+sum(L5:L6)-1</f>
        <v/>
      </c>
      <c r="N7" s="38">
        <f>M7+sum(M5:M6)-1</f>
        <v/>
      </c>
      <c r="O7" s="38">
        <f>N7+sum(N5:N6)-1</f>
        <v/>
      </c>
      <c r="P7" s="38">
        <f>O7+1</f>
        <v/>
      </c>
      <c r="Q7" s="38">
        <f>P7+1</f>
        <v/>
      </c>
      <c r="R7" s="38">
        <f>Q7+1</f>
        <v/>
      </c>
      <c r="S7" s="40">
        <f>R7+1</f>
        <v/>
      </c>
    </row>
    <row r="8">
      <c r="B8" s="42" t="inlineStr">
        <is>
          <t>Alive</t>
        </is>
      </c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>
        <f>N9-N7</f>
        <v/>
      </c>
      <c r="O8" s="44">
        <f>O9-O7</f>
        <v/>
      </c>
      <c r="P8" s="44">
        <f>P9-P7</f>
        <v/>
      </c>
      <c r="Q8" s="44">
        <f>Q9-Q7</f>
        <v/>
      </c>
      <c r="R8" s="44">
        <f>R9-R7</f>
        <v/>
      </c>
      <c r="S8" s="44">
        <f>S9-S7</f>
        <v/>
      </c>
    </row>
    <row r="9">
      <c r="B9" s="47" t="inlineStr">
        <is>
          <t>Total</t>
        </is>
      </c>
      <c r="C9" s="48">
        <f>sum(C4:C7)</f>
        <v/>
      </c>
      <c r="D9" s="48">
        <f>C9</f>
        <v/>
      </c>
      <c r="E9" s="48">
        <f>D9</f>
        <v/>
      </c>
      <c r="F9" s="48">
        <f>E9</f>
        <v/>
      </c>
      <c r="G9" s="48">
        <f>F9</f>
        <v/>
      </c>
      <c r="H9" s="48">
        <f>G9</f>
        <v/>
      </c>
      <c r="I9" s="48">
        <f>H9</f>
        <v/>
      </c>
      <c r="J9" s="48">
        <f>I9</f>
        <v/>
      </c>
      <c r="K9" s="48">
        <f>J9</f>
        <v/>
      </c>
      <c r="L9" s="48">
        <f>K9</f>
        <v/>
      </c>
      <c r="M9" s="48">
        <f>L9</f>
        <v/>
      </c>
      <c r="N9" s="48">
        <f>M9</f>
        <v/>
      </c>
      <c r="O9" s="48">
        <f>N9</f>
        <v/>
      </c>
      <c r="P9" s="48">
        <f>O9</f>
        <v/>
      </c>
      <c r="Q9" s="48">
        <f>P9</f>
        <v/>
      </c>
      <c r="R9" s="48">
        <f>Q9</f>
        <v/>
      </c>
      <c r="S9" s="50">
        <f>R9</f>
        <v/>
      </c>
    </row>
    <row r="10" ht="10.5" customHeight="1" s="67"/>
    <row r="11">
      <c r="F11" s="51" t="inlineStr">
        <is>
          <t>Bye Weeks</t>
        </is>
      </c>
      <c r="G11" s="55" t="inlineStr">
        <is>
          <t>Week 5: Cleveland Browns, Los Angeles Chargers, Seattle Seahawks, Tampa Bay Buccaneers</t>
        </is>
      </c>
      <c r="H11" s="55" t="inlineStr">
        <is>
          <t>Week 6: Green Bay Packers, Pittsburgh Steelers</t>
        </is>
      </c>
      <c r="I11" s="53" t="inlineStr">
        <is>
          <t>Week 7:  Carolina Panthers, Cincinnati Bengals, Dallas Cowboys, Houston Texans, New York Jets, Tennessee Titans</t>
        </is>
      </c>
      <c r="J11" s="54" t="n"/>
      <c r="K11" s="55" t="inlineStr">
        <is>
          <t>Week 9: Denver Broncos, Detroit Lions, Jacksonville Jaguars, San Francisco 49ers</t>
        </is>
      </c>
      <c r="L11" s="55" t="inlineStr">
        <is>
          <t>Week 10: Kansas City Chiefs, Los Angeles Rams, Miami Dolphins, Philadelphia Eagles</t>
        </is>
      </c>
      <c r="M11" s="55" t="inlineStr">
        <is>
          <t>Week 11: Atlanta Falcons, Indianapolis Colts, New England Patriots, New Orleans Saints</t>
        </is>
      </c>
      <c r="N11" s="55" t="n"/>
      <c r="O11" s="55" t="inlineStr">
        <is>
          <t>Week 13: Baltimore Ravens, Buffalo Bills, Chicago Bears, Las Vegas Raiders, Minnesota Vikings, New York Giants</t>
        </is>
      </c>
      <c r="P11" s="56" t="inlineStr">
        <is>
          <t>Week 14: Arizona Cardinals, Washington Commanders</t>
        </is>
      </c>
    </row>
    <row r="12"/>
    <row r="13">
      <c r="A13" s="1" t="n"/>
      <c r="E13" s="58" t="n"/>
    </row>
    <row r="14">
      <c r="A14" s="1" t="n"/>
      <c r="E14" s="58" t="n"/>
    </row>
    <row r="15">
      <c r="A15" s="1" t="n"/>
      <c r="E15" s="58" t="n"/>
    </row>
    <row r="16">
      <c r="A16" s="1" t="n"/>
      <c r="E16" s="58" t="n"/>
      <c r="M16" s="5" t="inlineStr">
        <is>
          <t>Week</t>
        </is>
      </c>
      <c r="N16" s="5" t="inlineStr">
        <is>
          <t>Total Teams</t>
        </is>
      </c>
      <c r="O16" s="5" t="inlineStr">
        <is>
          <t>Teams in Gulag</t>
        </is>
      </c>
      <c r="P16" s="5" t="inlineStr">
        <is>
          <t>Teams sent to Gulag</t>
        </is>
      </c>
      <c r="Q16" s="5" t="inlineStr">
        <is>
          <t>Teams cut at EOW</t>
        </is>
      </c>
      <c r="R16" s="5" t="inlineStr">
        <is>
          <t>Teams going into next week</t>
        </is>
      </c>
      <c r="S16" s="5" t="n"/>
    </row>
    <row r="17">
      <c r="A17" s="1" t="n"/>
      <c r="E17" s="58" t="n"/>
      <c r="M17" s="5" t="n">
        <v>11</v>
      </c>
      <c r="N17" s="58" t="n">
        <v>9</v>
      </c>
      <c r="O17" s="58" t="n">
        <v>2</v>
      </c>
      <c r="P17" s="58" t="n">
        <v>3</v>
      </c>
      <c r="Q17" s="58" t="n">
        <v>1</v>
      </c>
      <c r="R17" s="58">
        <f>N17-Q17</f>
        <v/>
      </c>
    </row>
    <row r="18">
      <c r="A18" s="1" t="n"/>
      <c r="E18" s="58" t="n"/>
      <c r="M18" s="5" t="n">
        <v>12</v>
      </c>
      <c r="N18" s="58">
        <f>R17</f>
        <v/>
      </c>
      <c r="O18" s="58" t="n">
        <v>3</v>
      </c>
      <c r="P18" s="58" t="n">
        <v>2</v>
      </c>
      <c r="Q18" s="58" t="n">
        <v>2</v>
      </c>
      <c r="R18" s="58">
        <f>N18-Q18</f>
        <v/>
      </c>
    </row>
    <row r="19">
      <c r="A19" s="1" t="n"/>
      <c r="E19" s="58" t="n"/>
      <c r="M19" s="5" t="n">
        <v>13</v>
      </c>
      <c r="N19" s="58">
        <f>R18</f>
        <v/>
      </c>
      <c r="O19" s="58" t="n">
        <v>2</v>
      </c>
      <c r="P19" s="58" t="n">
        <v>2</v>
      </c>
      <c r="Q19" s="58" t="n">
        <v>1</v>
      </c>
      <c r="R19" s="58">
        <f>N19-Q19</f>
        <v/>
      </c>
    </row>
    <row r="20">
      <c r="A20" s="1" t="n"/>
      <c r="E20" s="58" t="n"/>
      <c r="M20" s="5" t="n">
        <v>14</v>
      </c>
      <c r="N20" s="58">
        <f>R19</f>
        <v/>
      </c>
      <c r="O20" s="58" t="n">
        <v>0</v>
      </c>
      <c r="P20" s="58" t="n">
        <v>2</v>
      </c>
      <c r="Q20" s="58" t="n">
        <v>1</v>
      </c>
      <c r="R20" s="58">
        <f>N20-Q20</f>
        <v/>
      </c>
    </row>
    <row r="21">
      <c r="A21" s="1" t="n"/>
      <c r="E21" s="58" t="n"/>
      <c r="M21" s="5" t="n">
        <v>15</v>
      </c>
      <c r="N21" s="58">
        <f>R20</f>
        <v/>
      </c>
      <c r="O21" s="58" t="n">
        <v>0</v>
      </c>
      <c r="P21" s="58" t="n">
        <v>2</v>
      </c>
      <c r="Q21" s="58" t="n">
        <v>1</v>
      </c>
      <c r="R21" s="58">
        <f>N21-Q21</f>
        <v/>
      </c>
    </row>
    <row r="22">
      <c r="A22" s="1" t="n"/>
      <c r="E22" s="58" t="n"/>
      <c r="M22" s="5" t="n">
        <v>16</v>
      </c>
      <c r="N22" s="58">
        <f>R21</f>
        <v/>
      </c>
      <c r="O22" s="58" t="n">
        <v>0</v>
      </c>
      <c r="P22" s="58" t="n">
        <v>2</v>
      </c>
      <c r="Q22" s="58" t="n">
        <v>1</v>
      </c>
      <c r="R22" s="58">
        <f>N22-Q22</f>
        <v/>
      </c>
    </row>
    <row r="23">
      <c r="A23" s="1" t="n"/>
      <c r="E23" s="58" t="n"/>
      <c r="M23" s="5" t="n">
        <v>17</v>
      </c>
      <c r="N23" s="58">
        <f>R22</f>
        <v/>
      </c>
      <c r="O23" s="58" t="n">
        <v>0</v>
      </c>
      <c r="P23" s="58" t="n">
        <v>0</v>
      </c>
      <c r="Q23" s="58" t="n">
        <v>1</v>
      </c>
      <c r="R23" s="58">
        <f>N23-Q23</f>
        <v/>
      </c>
    </row>
    <row r="24">
      <c r="A24" s="1" t="n"/>
      <c r="E24" s="58" t="n"/>
      <c r="M24" s="5" t="inlineStr">
        <is>
          <t>Winner</t>
        </is>
      </c>
      <c r="N24" s="58">
        <f>R23</f>
        <v/>
      </c>
    </row>
    <row r="25">
      <c r="A25" s="1" t="n"/>
      <c r="E25" s="58" t="n"/>
    </row>
    <row r="26">
      <c r="A26" s="1" t="n"/>
      <c r="E26" s="58" t="n"/>
    </row>
    <row r="27">
      <c r="A27" s="1" t="n"/>
      <c r="E27" s="58" t="inlineStr">
        <is>
          <t>10am PST</t>
        </is>
      </c>
    </row>
    <row r="28">
      <c r="E28" s="58" t="inlineStr">
        <is>
          <t>Sept 3</t>
        </is>
      </c>
      <c r="F28" s="60" t="n">
        <v>45165</v>
      </c>
      <c r="G28" s="60" t="n">
        <v>45158</v>
      </c>
      <c r="H28" s="58" t="inlineStr">
        <is>
          <t>sleeper signup</t>
        </is>
      </c>
      <c r="I28" s="58" t="inlineStr">
        <is>
          <t>paid</t>
        </is>
      </c>
    </row>
    <row r="29">
      <c r="A29" s="58" t="n"/>
      <c r="B29" s="58" t="n">
        <v>1</v>
      </c>
      <c r="C29" s="58" t="inlineStr">
        <is>
          <t>Ben</t>
        </is>
      </c>
      <c r="D29" s="58" t="inlineStr">
        <is>
          <t>Ray</t>
        </is>
      </c>
      <c r="E29" s="58" t="inlineStr">
        <is>
          <t>y</t>
        </is>
      </c>
      <c r="F29" s="58" t="inlineStr">
        <is>
          <t>y</t>
        </is>
      </c>
      <c r="G29" s="58" t="inlineStr">
        <is>
          <t>y</t>
        </is>
      </c>
      <c r="H29" s="58" t="inlineStr">
        <is>
          <t>y</t>
        </is>
      </c>
      <c r="I29" s="58" t="inlineStr">
        <is>
          <t>y</t>
        </is>
      </c>
    </row>
    <row r="30">
      <c r="A30" s="58" t="n"/>
      <c r="B30" s="58">
        <f>B29+1</f>
        <v/>
      </c>
      <c r="C30" s="58" t="inlineStr">
        <is>
          <t>Alistair</t>
        </is>
      </c>
      <c r="D30" s="58" t="inlineStr">
        <is>
          <t>Maxwell</t>
        </is>
      </c>
      <c r="E30" s="58" t="inlineStr">
        <is>
          <t>y</t>
        </is>
      </c>
      <c r="F30" s="58" t="inlineStr">
        <is>
          <t>y</t>
        </is>
      </c>
      <c r="G30" s="58" t="inlineStr">
        <is>
          <t>y</t>
        </is>
      </c>
      <c r="H30" s="58" t="inlineStr">
        <is>
          <t>y</t>
        </is>
      </c>
      <c r="I30" s="58" t="inlineStr">
        <is>
          <t>y</t>
        </is>
      </c>
    </row>
    <row r="31">
      <c r="A31" s="58" t="n"/>
      <c r="B31" s="58">
        <f>B30+1</f>
        <v/>
      </c>
      <c r="C31" s="58" t="inlineStr">
        <is>
          <t>Daniel</t>
        </is>
      </c>
      <c r="D31" s="58" t="inlineStr">
        <is>
          <t>Ripple</t>
        </is>
      </c>
      <c r="E31" s="58" t="inlineStr">
        <is>
          <t>y</t>
        </is>
      </c>
      <c r="F31" s="58" t="inlineStr">
        <is>
          <t>y</t>
        </is>
      </c>
      <c r="G31" s="58" t="inlineStr">
        <is>
          <t>y</t>
        </is>
      </c>
      <c r="H31" s="58" t="inlineStr">
        <is>
          <t>y</t>
        </is>
      </c>
      <c r="I31" s="58" t="inlineStr">
        <is>
          <t>y</t>
        </is>
      </c>
    </row>
    <row r="32">
      <c r="A32" s="58" t="n"/>
      <c r="B32" s="58">
        <f>B31+1</f>
        <v/>
      </c>
      <c r="C32" s="58" t="inlineStr">
        <is>
          <t>Derek</t>
        </is>
      </c>
      <c r="D32" s="58" t="inlineStr">
        <is>
          <t>Joe</t>
        </is>
      </c>
      <c r="E32" s="58" t="inlineStr">
        <is>
          <t>y</t>
        </is>
      </c>
      <c r="F32" s="58" t="inlineStr">
        <is>
          <t>y</t>
        </is>
      </c>
      <c r="G32" s="58" t="inlineStr">
        <is>
          <t>y</t>
        </is>
      </c>
      <c r="H32" s="58" t="inlineStr">
        <is>
          <t>y</t>
        </is>
      </c>
      <c r="I32" s="58" t="inlineStr">
        <is>
          <t>y</t>
        </is>
      </c>
    </row>
    <row r="33">
      <c r="A33" s="58" t="n"/>
      <c r="B33" s="58">
        <f>B32+1</f>
        <v/>
      </c>
      <c r="C33" s="58" t="inlineStr">
        <is>
          <t>Josh</t>
        </is>
      </c>
      <c r="D33" s="58" t="inlineStr">
        <is>
          <t>Ray</t>
        </is>
      </c>
      <c r="E33" s="58" t="inlineStr">
        <is>
          <t>n</t>
        </is>
      </c>
      <c r="F33" s="58" t="inlineStr">
        <is>
          <t>y</t>
        </is>
      </c>
      <c r="G33" s="58" t="inlineStr">
        <is>
          <t>y</t>
        </is>
      </c>
      <c r="H33" s="58" t="inlineStr">
        <is>
          <t>y</t>
        </is>
      </c>
      <c r="I33" s="58" t="inlineStr">
        <is>
          <t>y</t>
        </is>
      </c>
    </row>
    <row r="34">
      <c r="A34" s="58" t="n"/>
      <c r="B34" s="58">
        <f>B33+1</f>
        <v/>
      </c>
      <c r="C34" s="58" t="inlineStr">
        <is>
          <t>Ryland</t>
        </is>
      </c>
      <c r="D34" s="58" t="inlineStr">
        <is>
          <t>Radanovich</t>
        </is>
      </c>
      <c r="E34" s="58" t="inlineStr">
        <is>
          <t>y</t>
        </is>
      </c>
      <c r="F34" s="58" t="inlineStr">
        <is>
          <t>y</t>
        </is>
      </c>
      <c r="G34" s="58" t="inlineStr">
        <is>
          <t>y</t>
        </is>
      </c>
      <c r="H34" s="58" t="inlineStr">
        <is>
          <t>y</t>
        </is>
      </c>
      <c r="I34" s="58" t="inlineStr">
        <is>
          <t>y</t>
        </is>
      </c>
    </row>
    <row r="35">
      <c r="A35" s="58" t="n"/>
      <c r="B35" s="58">
        <f>B34+1</f>
        <v/>
      </c>
      <c r="C35" s="58" t="inlineStr">
        <is>
          <t>Evan</t>
        </is>
      </c>
      <c r="D35" s="58" t="inlineStr">
        <is>
          <t>Cheung</t>
        </is>
      </c>
      <c r="E35" s="58" t="inlineStr">
        <is>
          <t>y</t>
        </is>
      </c>
      <c r="F35" s="58" t="inlineStr">
        <is>
          <t>y</t>
        </is>
      </c>
      <c r="G35" s="58" t="inlineStr">
        <is>
          <t>y</t>
        </is>
      </c>
      <c r="H35" s="58" t="inlineStr">
        <is>
          <t>y</t>
        </is>
      </c>
      <c r="I35" s="58" t="inlineStr">
        <is>
          <t>y</t>
        </is>
      </c>
    </row>
    <row r="36">
      <c r="A36" s="58" t="n"/>
      <c r="B36" s="58">
        <f>B35+1</f>
        <v/>
      </c>
      <c r="C36" s="58" t="inlineStr">
        <is>
          <t>Max</t>
        </is>
      </c>
      <c r="D36" s="58" t="inlineStr">
        <is>
          <t>Teranen</t>
        </is>
      </c>
      <c r="E36" s="58" t="inlineStr">
        <is>
          <t>y</t>
        </is>
      </c>
      <c r="F36" s="58" t="inlineStr">
        <is>
          <t>y</t>
        </is>
      </c>
      <c r="G36" s="58" t="inlineStr">
        <is>
          <t>y</t>
        </is>
      </c>
      <c r="H36" s="58" t="inlineStr">
        <is>
          <t>y</t>
        </is>
      </c>
      <c r="I36" s="58" t="inlineStr">
        <is>
          <t>y</t>
        </is>
      </c>
    </row>
    <row r="37">
      <c r="A37" s="58" t="n"/>
      <c r="B37" s="58">
        <f>B36+1</f>
        <v/>
      </c>
      <c r="C37" s="58" t="inlineStr">
        <is>
          <t>Ryan</t>
        </is>
      </c>
      <c r="D37" s="58" t="inlineStr">
        <is>
          <t>MacFarlane</t>
        </is>
      </c>
      <c r="E37" s="58" t="inlineStr">
        <is>
          <t>y</t>
        </is>
      </c>
      <c r="F37" s="58" t="inlineStr">
        <is>
          <t>y</t>
        </is>
      </c>
      <c r="G37" s="58" t="inlineStr">
        <is>
          <t>y</t>
        </is>
      </c>
      <c r="H37" s="58" t="inlineStr">
        <is>
          <t>y</t>
        </is>
      </c>
      <c r="I37" s="58" t="inlineStr">
        <is>
          <t>y</t>
        </is>
      </c>
    </row>
    <row r="38">
      <c r="A38" s="58" t="n"/>
      <c r="B38" s="58">
        <f>B37+1</f>
        <v/>
      </c>
      <c r="C38" s="58" t="inlineStr">
        <is>
          <t>Brandon</t>
        </is>
      </c>
      <c r="D38" s="58" t="inlineStr">
        <is>
          <t>Lutz</t>
        </is>
      </c>
      <c r="E38" s="58" t="inlineStr">
        <is>
          <t>y</t>
        </is>
      </c>
      <c r="F38" s="58" t="inlineStr">
        <is>
          <t>y</t>
        </is>
      </c>
      <c r="G38" s="58" t="inlineStr">
        <is>
          <t>y</t>
        </is>
      </c>
      <c r="H38" s="58" t="inlineStr">
        <is>
          <t>y</t>
        </is>
      </c>
      <c r="I38" s="58" t="inlineStr">
        <is>
          <t>y</t>
        </is>
      </c>
    </row>
    <row r="39">
      <c r="A39" s="58" t="n"/>
      <c r="B39" s="58">
        <f>B38+1</f>
        <v/>
      </c>
      <c r="C39" s="58" t="inlineStr">
        <is>
          <t>Brandon</t>
        </is>
      </c>
      <c r="D39" s="58" t="inlineStr">
        <is>
          <t>Scott</t>
        </is>
      </c>
      <c r="E39" s="58" t="inlineStr">
        <is>
          <t>y</t>
        </is>
      </c>
      <c r="F39" s="58" t="inlineStr">
        <is>
          <t>y</t>
        </is>
      </c>
      <c r="G39" s="58" t="inlineStr">
        <is>
          <t>y</t>
        </is>
      </c>
      <c r="H39" s="58" t="inlineStr">
        <is>
          <t>blandon</t>
        </is>
      </c>
      <c r="I39" s="58" t="inlineStr">
        <is>
          <t>y</t>
        </is>
      </c>
    </row>
    <row r="40">
      <c r="A40" s="58" t="n"/>
      <c r="B40" s="58">
        <f>B39+1</f>
        <v/>
      </c>
      <c r="C40" s="58" t="inlineStr">
        <is>
          <t>Nick</t>
        </is>
      </c>
      <c r="D40" s="58" t="inlineStr">
        <is>
          <t>Rodriguez</t>
        </is>
      </c>
      <c r="E40" s="58" t="inlineStr">
        <is>
          <t>m</t>
        </is>
      </c>
      <c r="F40" s="58" t="inlineStr">
        <is>
          <t>y</t>
        </is>
      </c>
      <c r="G40" s="58" t="inlineStr">
        <is>
          <t>y</t>
        </is>
      </c>
      <c r="H40" s="58" t="inlineStr">
        <is>
          <t>y</t>
        </is>
      </c>
      <c r="I40" s="58" t="inlineStr">
        <is>
          <t>y</t>
        </is>
      </c>
    </row>
    <row r="41">
      <c r="A41" s="58" t="n"/>
      <c r="B41" s="58">
        <f>B40+1</f>
        <v/>
      </c>
      <c r="C41" s="58" t="inlineStr">
        <is>
          <t>Nick</t>
        </is>
      </c>
      <c r="D41" s="58" t="inlineStr">
        <is>
          <t>Silveira</t>
        </is>
      </c>
      <c r="E41" s="58" t="inlineStr">
        <is>
          <t>n</t>
        </is>
      </c>
      <c r="F41" s="58" t="inlineStr">
        <is>
          <t>y</t>
        </is>
      </c>
      <c r="G41" s="58" t="inlineStr">
        <is>
          <t>y</t>
        </is>
      </c>
      <c r="H41" s="58" t="inlineStr">
        <is>
          <t>y</t>
        </is>
      </c>
      <c r="I41" s="58" t="inlineStr">
        <is>
          <t>y</t>
        </is>
      </c>
    </row>
    <row r="42">
      <c r="A42" s="58" t="n"/>
      <c r="B42" s="58">
        <f>B41+1</f>
        <v/>
      </c>
      <c r="C42" s="58" t="inlineStr">
        <is>
          <t>Charlie</t>
        </is>
      </c>
      <c r="D42" s="58" t="inlineStr">
        <is>
          <t>Hoberg</t>
        </is>
      </c>
      <c r="E42" s="58" t="inlineStr">
        <is>
          <t>y</t>
        </is>
      </c>
      <c r="F42" s="58" t="inlineStr">
        <is>
          <t>y</t>
        </is>
      </c>
      <c r="G42" s="58" t="inlineStr">
        <is>
          <t>y</t>
        </is>
      </c>
      <c r="H42" s="58" t="inlineStr">
        <is>
          <t>chobes</t>
        </is>
      </c>
      <c r="I42" s="58" t="inlineStr">
        <is>
          <t>y</t>
        </is>
      </c>
    </row>
    <row r="43">
      <c r="A43" s="58" t="n"/>
      <c r="B43" s="58">
        <f>B42+1</f>
        <v/>
      </c>
      <c r="C43" s="58" t="inlineStr">
        <is>
          <t>Adi</t>
        </is>
      </c>
      <c r="D43" s="58" t="inlineStr">
        <is>
          <t>Alphonso</t>
        </is>
      </c>
      <c r="E43" s="58" t="inlineStr">
        <is>
          <t>y</t>
        </is>
      </c>
      <c r="F43" s="58" t="inlineStr">
        <is>
          <t>y</t>
        </is>
      </c>
      <c r="G43" s="58" t="inlineStr">
        <is>
          <t>y</t>
        </is>
      </c>
      <c r="H43" s="58" t="inlineStr">
        <is>
          <t>y</t>
        </is>
      </c>
      <c r="I43" s="58" t="inlineStr">
        <is>
          <t>y</t>
        </is>
      </c>
    </row>
    <row r="44">
      <c r="A44" s="58" t="n"/>
      <c r="B44" s="58">
        <f>B43+1</f>
        <v/>
      </c>
      <c r="C44" s="58" t="inlineStr">
        <is>
          <t>Michael</t>
        </is>
      </c>
      <c r="D44" s="58" t="inlineStr">
        <is>
          <t>Babcock</t>
        </is>
      </c>
      <c r="E44" s="58" t="inlineStr">
        <is>
          <t>y</t>
        </is>
      </c>
      <c r="F44" s="58" t="inlineStr">
        <is>
          <t>m</t>
        </is>
      </c>
      <c r="G44" s="58" t="inlineStr">
        <is>
          <t>y</t>
        </is>
      </c>
      <c r="H44" s="58" t="inlineStr">
        <is>
          <t>originalbigdog</t>
        </is>
      </c>
      <c r="I44" s="58" t="inlineStr">
        <is>
          <t>y</t>
        </is>
      </c>
    </row>
    <row r="45">
      <c r="A45" s="58" t="n"/>
      <c r="B45" s="58">
        <f>B44+1</f>
        <v/>
      </c>
      <c r="C45" s="58" t="inlineStr">
        <is>
          <t>Sean</t>
        </is>
      </c>
      <c r="D45" s="58" t="inlineStr">
        <is>
          <t>Conway</t>
        </is>
      </c>
      <c r="E45" s="58" t="inlineStr">
        <is>
          <t>m</t>
        </is>
      </c>
      <c r="F45" s="58" t="inlineStr">
        <is>
          <t>y</t>
        </is>
      </c>
      <c r="G45" s="58" t="inlineStr">
        <is>
          <t>y</t>
        </is>
      </c>
      <c r="H45" s="58" t="inlineStr">
        <is>
          <t>y</t>
        </is>
      </c>
      <c r="I45" s="58" t="inlineStr">
        <is>
          <t>y</t>
        </is>
      </c>
    </row>
    <row r="46">
      <c r="A46" s="58" t="n"/>
      <c r="B46" s="58" t="n">
        <v>18</v>
      </c>
      <c r="C46" s="58" t="inlineStr">
        <is>
          <t>Bryan</t>
        </is>
      </c>
      <c r="D46" s="58" t="inlineStr">
        <is>
          <t>Yueng</t>
        </is>
      </c>
      <c r="E46" s="58" t="inlineStr">
        <is>
          <t>n</t>
        </is>
      </c>
      <c r="F46" s="58" t="inlineStr">
        <is>
          <t>n</t>
        </is>
      </c>
      <c r="G46" s="58" t="inlineStr">
        <is>
          <t>y</t>
        </is>
      </c>
      <c r="H46" s="58" t="inlineStr">
        <is>
          <t>elbenito</t>
        </is>
      </c>
      <c r="I46" s="58" t="inlineStr">
        <is>
          <t>y</t>
        </is>
      </c>
    </row>
    <row r="47">
      <c r="A47" s="58" t="n"/>
      <c r="B47" s="58" t="n">
        <v>19</v>
      </c>
      <c r="C47" s="58" t="inlineStr">
        <is>
          <t>David</t>
        </is>
      </c>
      <c r="D47" s="58" t="inlineStr">
        <is>
          <t>Wiers</t>
        </is>
      </c>
      <c r="G47" s="58" t="inlineStr">
        <is>
          <t>y</t>
        </is>
      </c>
      <c r="H47" s="58" t="inlineStr">
        <is>
          <t>y</t>
        </is>
      </c>
      <c r="I47" s="58" t="inlineStr">
        <is>
          <t>y</t>
        </is>
      </c>
    </row>
    <row r="48">
      <c r="A48" s="58" t="n"/>
      <c r="B48" s="58" t="n">
        <v>20</v>
      </c>
      <c r="C48" s="58" t="inlineStr">
        <is>
          <t>Kyle</t>
        </is>
      </c>
      <c r="D48" s="58" t="inlineStr">
        <is>
          <t>Bowe</t>
        </is>
      </c>
      <c r="G48" s="58" t="inlineStr">
        <is>
          <t>y</t>
        </is>
      </c>
      <c r="H48" s="58" t="inlineStr">
        <is>
          <t>y</t>
        </is>
      </c>
      <c r="I48" s="58" t="inlineStr">
        <is>
          <t>y</t>
        </is>
      </c>
    </row>
    <row r="49"/>
    <row r="50"/>
    <row r="51"/>
    <row r="52"/>
    <row r="53" ht="33" customHeight="1" s="67">
      <c r="B53" s="4" t="inlineStr">
        <is>
          <t>Week</t>
        </is>
      </c>
      <c r="C53" s="7" t="n">
        <v>1</v>
      </c>
      <c r="D53" s="7">
        <f>C53+1</f>
        <v/>
      </c>
      <c r="E53" s="7">
        <f>D53+1</f>
        <v/>
      </c>
      <c r="F53" s="7">
        <f>E53+1</f>
        <v/>
      </c>
      <c r="G53" s="7">
        <f>F53+1</f>
        <v/>
      </c>
      <c r="H53" s="7">
        <f>G53+1</f>
        <v/>
      </c>
      <c r="I53" s="7">
        <f>H53+1</f>
        <v/>
      </c>
      <c r="J53" s="7">
        <f>I53+1</f>
        <v/>
      </c>
      <c r="K53" s="7">
        <f>J53+1</f>
        <v/>
      </c>
      <c r="L53" s="7">
        <f>K53+1</f>
        <v/>
      </c>
      <c r="M53" s="7">
        <f>L53+1</f>
        <v/>
      </c>
      <c r="N53" s="7">
        <f>M53+1</f>
        <v/>
      </c>
      <c r="O53" s="7">
        <f>N53+1</f>
        <v/>
      </c>
      <c r="P53" s="7">
        <f>O53+1</f>
        <v/>
      </c>
      <c r="Q53" s="7">
        <f>P53+1</f>
        <v/>
      </c>
      <c r="R53" s="7">
        <f>Q53+1</f>
        <v/>
      </c>
      <c r="S53" s="9">
        <f>R53+1</f>
        <v/>
      </c>
    </row>
    <row r="54" ht="33" customHeight="1" s="67">
      <c r="B54" s="10" t="inlineStr">
        <is>
          <t>Safe</t>
        </is>
      </c>
      <c r="C54" s="11" t="n">
        <v>20</v>
      </c>
      <c r="D54" s="11" t="n">
        <v>18</v>
      </c>
      <c r="E54" s="14">
        <f>E58-E55-E56-E57</f>
        <v/>
      </c>
      <c r="F54" s="14">
        <f>F58-F55-F56-F57</f>
        <v/>
      </c>
      <c r="G54" s="14">
        <f>G58-G55-G56-G57</f>
        <v/>
      </c>
      <c r="H54" s="14">
        <f>H58-H55-H56-H57</f>
        <v/>
      </c>
      <c r="I54" s="14">
        <f>I58-I55-I56-I57</f>
        <v/>
      </c>
      <c r="J54" s="14">
        <f>J58-J55-J56-J57</f>
        <v/>
      </c>
      <c r="K54" s="14">
        <f>K58-K55-K56-K57</f>
        <v/>
      </c>
      <c r="L54" s="14">
        <f>L58-L55-L56-L57</f>
        <v/>
      </c>
      <c r="M54" s="14">
        <f>M58-M55-M56-M57</f>
        <v/>
      </c>
      <c r="N54" s="14">
        <f>N58-N55-N56-N57</f>
        <v/>
      </c>
      <c r="O54" s="14">
        <f>O58-O55-O56-O57</f>
        <v/>
      </c>
      <c r="P54" s="14">
        <f>P58-P55-P56-P57</f>
        <v/>
      </c>
      <c r="Q54" s="14">
        <f>Q58-Q55-Q56-Q57</f>
        <v/>
      </c>
      <c r="R54" s="14">
        <f>R58-R55-R56-R57</f>
        <v/>
      </c>
      <c r="S54" s="17">
        <f>S58-S55-S56-S57</f>
        <v/>
      </c>
      <c r="T54" s="19" t="inlineStr">
        <is>
          <t>Winner!</t>
        </is>
      </c>
      <c r="U54" s="20" t="n"/>
      <c r="V54" s="20" t="n"/>
      <c r="W54" s="20" t="n"/>
      <c r="X54" s="20" t="n"/>
      <c r="Y54" s="20" t="n"/>
      <c r="Z54" s="20" t="n"/>
      <c r="AA54" s="20" t="n"/>
    </row>
    <row r="55">
      <c r="B55" s="21" t="inlineStr">
        <is>
          <t>Gulag</t>
        </is>
      </c>
      <c r="C55" s="22" t="n">
        <v>0</v>
      </c>
      <c r="D55" s="22" t="n">
        <v>2</v>
      </c>
      <c r="E55" s="22" t="n">
        <v>2</v>
      </c>
      <c r="F55" s="22" t="n">
        <v>2</v>
      </c>
      <c r="G55" s="22" t="n">
        <v>2</v>
      </c>
      <c r="H55" s="22" t="n">
        <v>2</v>
      </c>
      <c r="I55" s="22" t="n">
        <v>2</v>
      </c>
      <c r="J55" s="22" t="n">
        <v>0</v>
      </c>
      <c r="K55" s="22" t="n">
        <v>2</v>
      </c>
      <c r="L55" s="22" t="n">
        <v>2</v>
      </c>
      <c r="M55" s="22" t="n">
        <v>2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3" t="n">
        <v>0</v>
      </c>
    </row>
    <row r="56">
      <c r="B56" s="21" t="inlineStr">
        <is>
          <t>Gladiator</t>
        </is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4" t="n">
        <v>4</v>
      </c>
      <c r="K56" s="22" t="n">
        <v>0</v>
      </c>
      <c r="L56" s="22" t="n">
        <v>0</v>
      </c>
      <c r="M56" s="22" t="n">
        <v>0</v>
      </c>
      <c r="N56" s="24" t="n">
        <v>3</v>
      </c>
      <c r="O56" s="22" t="n">
        <v>0</v>
      </c>
      <c r="P56" s="22" t="n">
        <v>0</v>
      </c>
      <c r="Q56" s="22" t="n">
        <v>0</v>
      </c>
      <c r="R56" s="22" t="n">
        <v>0</v>
      </c>
      <c r="S56" s="23" t="n">
        <v>0</v>
      </c>
    </row>
    <row r="57">
      <c r="B57" s="25" t="inlineStr">
        <is>
          <t>Cut</t>
        </is>
      </c>
      <c r="C57" s="38" t="n">
        <v>0</v>
      </c>
      <c r="D57" s="38">
        <f>C57+sum(C55:C56)</f>
        <v/>
      </c>
      <c r="E57" s="38">
        <f>D57+sum(D55:D56)-1</f>
        <v/>
      </c>
      <c r="F57" s="38">
        <f>E57+sum(E55:E56)-1</f>
        <v/>
      </c>
      <c r="G57" s="38">
        <f>F57+sum(F55:F56)-1</f>
        <v/>
      </c>
      <c r="H57" s="38">
        <f>G57+sum(G55:G56)-1</f>
        <v/>
      </c>
      <c r="I57" s="38">
        <f>H57+sum(H55:H56)-1</f>
        <v/>
      </c>
      <c r="J57" s="38">
        <f>I57+sum(I55:I56)-1</f>
        <v/>
      </c>
      <c r="K57" s="38">
        <f>J57+sum(J55:J56)-1</f>
        <v/>
      </c>
      <c r="L57" s="38">
        <f>K57+sum(K55:K56)-1</f>
        <v/>
      </c>
      <c r="M57" s="38">
        <f>L57+sum(L55:L56)-1</f>
        <v/>
      </c>
      <c r="N57" s="38">
        <f>M57+sum(M55:M56)-1</f>
        <v/>
      </c>
      <c r="O57" s="38">
        <f>N57+sum(N55:N56)-1</f>
        <v/>
      </c>
      <c r="P57" s="38">
        <f>O57+1</f>
        <v/>
      </c>
      <c r="Q57" s="38">
        <f>P57+1</f>
        <v/>
      </c>
      <c r="R57" s="38">
        <f>Q57+1</f>
        <v/>
      </c>
      <c r="S57" s="40">
        <f>R57+1</f>
        <v/>
      </c>
    </row>
    <row r="58">
      <c r="B58" s="47" t="inlineStr">
        <is>
          <t>Total</t>
        </is>
      </c>
      <c r="C58" s="48">
        <f>sum(C54:C57)</f>
        <v/>
      </c>
      <c r="D58" s="48">
        <f>C58</f>
        <v/>
      </c>
      <c r="E58" s="48">
        <f>D58</f>
        <v/>
      </c>
      <c r="F58" s="48">
        <f>E58</f>
        <v/>
      </c>
      <c r="G58" s="48">
        <f>F58</f>
        <v/>
      </c>
      <c r="H58" s="48">
        <f>G58</f>
        <v/>
      </c>
      <c r="I58" s="48">
        <f>H58</f>
        <v/>
      </c>
      <c r="J58" s="48">
        <f>I58</f>
        <v/>
      </c>
      <c r="K58" s="48">
        <f>J58</f>
        <v/>
      </c>
      <c r="L58" s="48">
        <f>K58</f>
        <v/>
      </c>
      <c r="M58" s="48">
        <f>L58</f>
        <v/>
      </c>
      <c r="N58" s="48">
        <f>M58</f>
        <v/>
      </c>
      <c r="O58" s="48">
        <f>N58</f>
        <v/>
      </c>
      <c r="P58" s="48">
        <f>O58</f>
        <v/>
      </c>
      <c r="Q58" s="48">
        <f>P58</f>
        <v/>
      </c>
      <c r="R58" s="48">
        <f>Q58</f>
        <v/>
      </c>
      <c r="S58" s="50">
        <f>R58</f>
        <v/>
      </c>
    </row>
    <row r="59" ht="10.5" customHeight="1" s="67"/>
    <row r="60">
      <c r="F60" s="51" t="inlineStr">
        <is>
          <t>Bye Weeks</t>
        </is>
      </c>
      <c r="G60" s="55" t="inlineStr">
        <is>
          <t>Week 5: Cleveland Browns, Los Angeles Chargers, Seattle Seahawks, Tampa Bay Buccaneers</t>
        </is>
      </c>
      <c r="H60" s="55" t="inlineStr">
        <is>
          <t>Week 6: Green Bay Packers, Pittsburgh Steelers</t>
        </is>
      </c>
      <c r="I60" s="53" t="inlineStr">
        <is>
          <t>Week 7:  Carolina Panthers, Cincinnati Bengals, Dallas Cowboys, Houston Texans, New York Jets, Tennessee Titans</t>
        </is>
      </c>
      <c r="J60" s="54" t="n"/>
      <c r="K60" s="55" t="inlineStr">
        <is>
          <t>Week 9: Denver Broncos, Detroit Lions, Jacksonville Jaguars, San Francisco 49ers</t>
        </is>
      </c>
      <c r="L60" s="55" t="inlineStr">
        <is>
          <t>Week 10: Kansas City Chiefs, Los Angeles Rams, Miami Dolphins, Philadelphia Eagles</t>
        </is>
      </c>
      <c r="M60" s="55" t="inlineStr">
        <is>
          <t>Week 11: Atlanta Falcons, Indianapolis Colts, New England Patriots, New Orleans Saints</t>
        </is>
      </c>
      <c r="N60" s="55" t="n"/>
      <c r="O60" s="55" t="inlineStr">
        <is>
          <t>Week 13: Baltimore Ravens, Buffalo Bills, Chicago Bears, Las Vegas Raiders, Minnesota Vikings, New York Giants</t>
        </is>
      </c>
      <c r="P60" s="56" t="inlineStr">
        <is>
          <t>Week 14: Arizona Cardinals, Washington Commanders</t>
        </is>
      </c>
    </row>
    <row r="61"/>
    <row r="62"/>
    <row r="63">
      <c r="A63" s="65" t="n"/>
      <c r="B63" s="65" t="n"/>
    </row>
    <row r="64"/>
    <row r="65">
      <c r="A65" s="65" t="n"/>
      <c r="B65" s="65" t="n"/>
    </row>
    <row r="66"/>
    <row r="67">
      <c r="A67" s="65" t="n"/>
      <c r="B67" s="65" t="n"/>
    </row>
    <row r="68">
      <c r="A68" s="66" t="n"/>
      <c r="B68" s="66" t="n"/>
    </row>
    <row r="69">
      <c r="A69" s="65" t="n"/>
      <c r="B69" s="65" t="n"/>
    </row>
    <row r="70"/>
    <row r="71">
      <c r="A71" s="65" t="n"/>
      <c r="B71" s="65" t="n"/>
    </row>
    <row r="72"/>
    <row r="73">
      <c r="A73" s="65" t="n"/>
      <c r="B73" s="65" t="n"/>
    </row>
    <row r="74"/>
    <row r="75">
      <c r="A75" s="65" t="n"/>
      <c r="B75" s="65" t="n"/>
    </row>
    <row r="76">
      <c r="A76" s="66" t="n"/>
      <c r="B76" s="66" t="n"/>
    </row>
    <row r="77">
      <c r="A77" s="65" t="n"/>
      <c r="B77" s="65" t="n"/>
    </row>
    <row r="78"/>
    <row r="79">
      <c r="A79" s="65" t="n"/>
      <c r="B79" s="65" t="n"/>
    </row>
  </sheetData>
  <hyperlinks>
    <hyperlink xmlns:r="http://schemas.openxmlformats.org/officeDocument/2006/relationships" ref="I11" r:id="rId1"/>
    <hyperlink xmlns:r="http://schemas.openxmlformats.org/officeDocument/2006/relationships" ref="I60" r:id="rId2"/>
  </hyperlinks>
  <printOptions horizontalCentered="1" gridLines="1"/>
  <pageMargins left="0.25" right="0.25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67" min="2" max="2"/>
    <col width="19" customWidth="1" style="67" min="3" max="3"/>
    <col width="15.13" customWidth="1" style="67" min="4" max="4"/>
    <col width="19" customWidth="1" style="67" min="5" max="5"/>
    <col width="22.13" customWidth="1" style="67" min="6" max="7"/>
    <col width="19.38" customWidth="1" style="67" min="8" max="8"/>
  </cols>
  <sheetData>
    <row r="1">
      <c r="B1" s="27" t="n"/>
      <c r="C1" s="27" t="n"/>
      <c r="D1" s="27" t="n"/>
      <c r="E1" s="27" t="n"/>
      <c r="F1" s="28" t="n"/>
      <c r="G1" s="28" t="n"/>
      <c r="H1" s="27" t="n"/>
    </row>
    <row r="2">
      <c r="B2" s="29" t="n"/>
      <c r="C2" s="30" t="n"/>
      <c r="D2" s="30" t="n"/>
      <c r="E2" s="31" t="n"/>
      <c r="F2" s="68" t="inlineStr">
        <is>
          <t>Teams Eliminated this week from:</t>
        </is>
      </c>
      <c r="G2" s="69" t="n"/>
      <c r="H2" s="34" t="n"/>
    </row>
    <row r="3">
      <c r="B3" s="35" t="inlineStr">
        <is>
          <t>Week</t>
        </is>
      </c>
      <c r="C3" s="36" t="inlineStr">
        <is>
          <t>Total Teams</t>
        </is>
      </c>
      <c r="D3" s="36" t="inlineStr">
        <is>
          <t>Gulag Teams</t>
        </is>
      </c>
      <c r="E3" s="37" t="inlineStr">
        <is>
          <t>Gen Pool Teams</t>
        </is>
      </c>
      <c r="F3" s="36" t="inlineStr">
        <is>
          <t>Gulag</t>
        </is>
      </c>
      <c r="G3" s="39" t="inlineStr">
        <is>
          <t>Pool</t>
        </is>
      </c>
      <c r="H3" s="39" t="inlineStr">
        <is>
          <t>Surviving Teams</t>
        </is>
      </c>
    </row>
    <row r="4">
      <c r="B4" s="41" t="n">
        <v>1</v>
      </c>
      <c r="C4" s="45" t="n">
        <v>19</v>
      </c>
      <c r="D4" s="45" t="n">
        <v>0</v>
      </c>
      <c r="E4" s="45">
        <f>C4-D4</f>
        <v/>
      </c>
      <c r="F4" s="45" t="n">
        <v>0</v>
      </c>
      <c r="G4" s="45" t="n">
        <v>0</v>
      </c>
      <c r="H4" s="46">
        <f>C4-F4-G4</f>
        <v/>
      </c>
    </row>
    <row r="5">
      <c r="B5" s="41">
        <f>B4+1</f>
        <v/>
      </c>
      <c r="C5" s="45">
        <f>H4</f>
        <v/>
      </c>
      <c r="D5" s="45" t="n">
        <v>2</v>
      </c>
      <c r="E5" s="45">
        <f>C5-D5</f>
        <v/>
      </c>
      <c r="F5" s="45">
        <f>D5-1</f>
        <v/>
      </c>
      <c r="G5" s="45" t="n">
        <v>0</v>
      </c>
      <c r="H5" s="46">
        <f>C5-F5-G5</f>
        <v/>
      </c>
    </row>
    <row r="6">
      <c r="B6" s="41">
        <f>B5+1</f>
        <v/>
      </c>
      <c r="C6" s="45">
        <f>H5</f>
        <v/>
      </c>
      <c r="D6" s="45" t="n">
        <v>2</v>
      </c>
      <c r="E6" s="45">
        <f>C6-D6</f>
        <v/>
      </c>
      <c r="F6" s="45">
        <f>D6-1</f>
        <v/>
      </c>
      <c r="G6" s="45" t="n">
        <v>0</v>
      </c>
      <c r="H6" s="46">
        <f>C6-F6-G6</f>
        <v/>
      </c>
    </row>
    <row r="7">
      <c r="B7" s="41">
        <f>B6+1</f>
        <v/>
      </c>
      <c r="C7" s="45">
        <f>H6</f>
        <v/>
      </c>
      <c r="D7" s="45" t="n">
        <v>2</v>
      </c>
      <c r="E7" s="45">
        <f>C7-D7</f>
        <v/>
      </c>
      <c r="F7" s="45">
        <f>D7-1</f>
        <v/>
      </c>
      <c r="G7" s="45" t="n">
        <v>0</v>
      </c>
      <c r="H7" s="46">
        <f>C7-F7-G7</f>
        <v/>
      </c>
    </row>
    <row r="8">
      <c r="B8" s="41">
        <f>B7+1</f>
        <v/>
      </c>
      <c r="C8" s="45">
        <f>H7</f>
        <v/>
      </c>
      <c r="D8" s="45" t="n">
        <v>2</v>
      </c>
      <c r="E8" s="45">
        <f>C8-D8</f>
        <v/>
      </c>
      <c r="F8" s="45">
        <f>D8-1</f>
        <v/>
      </c>
      <c r="G8" s="45" t="n">
        <v>0</v>
      </c>
      <c r="H8" s="46">
        <f>C8-F8-G8</f>
        <v/>
      </c>
    </row>
    <row r="9">
      <c r="B9" s="41">
        <f>B8+1</f>
        <v/>
      </c>
      <c r="C9" s="45">
        <f>H8</f>
        <v/>
      </c>
      <c r="D9" s="45" t="n">
        <v>2</v>
      </c>
      <c r="E9" s="45">
        <f>C9-D9</f>
        <v/>
      </c>
      <c r="F9" s="45">
        <f>D9-1</f>
        <v/>
      </c>
      <c r="G9" s="45" t="n">
        <v>0</v>
      </c>
      <c r="H9" s="46">
        <f>C9-F9-G9</f>
        <v/>
      </c>
    </row>
    <row r="10">
      <c r="B10" s="41">
        <f>B9+1</f>
        <v/>
      </c>
      <c r="C10" s="45">
        <f>H9</f>
        <v/>
      </c>
      <c r="D10" s="45" t="n">
        <v>2</v>
      </c>
      <c r="E10" s="45">
        <f>C10-D10</f>
        <v/>
      </c>
      <c r="F10" s="45">
        <f>D10-1</f>
        <v/>
      </c>
      <c r="G10" s="45" t="n">
        <v>0</v>
      </c>
      <c r="H10" s="46">
        <f>C10-F10-G10</f>
        <v/>
      </c>
    </row>
    <row r="11">
      <c r="B11" s="41">
        <f>B10+1</f>
        <v/>
      </c>
      <c r="C11" s="45">
        <f>H10</f>
        <v/>
      </c>
      <c r="D11" s="45" t="n">
        <v>2</v>
      </c>
      <c r="E11" s="45">
        <f>C11-D11</f>
        <v/>
      </c>
      <c r="F11" s="45">
        <f>D11-1</f>
        <v/>
      </c>
      <c r="G11" s="45" t="n">
        <v>0</v>
      </c>
      <c r="H11" s="46">
        <f>C11-F11-G11</f>
        <v/>
      </c>
    </row>
    <row r="12">
      <c r="B12" s="41">
        <f>B11+1</f>
        <v/>
      </c>
      <c r="C12" s="45">
        <f>H11</f>
        <v/>
      </c>
      <c r="D12" s="45" t="n">
        <v>2</v>
      </c>
      <c r="E12" s="45">
        <f>C12-D12</f>
        <v/>
      </c>
      <c r="F12" s="45">
        <f>D12-1</f>
        <v/>
      </c>
      <c r="G12" s="45" t="n">
        <v>0</v>
      </c>
      <c r="H12" s="46">
        <f>C12-F12-G12</f>
        <v/>
      </c>
    </row>
    <row r="13">
      <c r="B13" s="41">
        <f>B12+1</f>
        <v/>
      </c>
      <c r="C13" s="45">
        <f>H12</f>
        <v/>
      </c>
      <c r="D13" s="45" t="n">
        <v>2</v>
      </c>
      <c r="E13" s="45">
        <f>C13-D13</f>
        <v/>
      </c>
      <c r="F13" s="45">
        <f>D13-1</f>
        <v/>
      </c>
      <c r="G13" s="45" t="n">
        <v>0</v>
      </c>
      <c r="H13" s="46">
        <f>C13-F13-G13</f>
        <v/>
      </c>
    </row>
    <row r="14">
      <c r="B14" s="41">
        <f>B13+1</f>
        <v/>
      </c>
      <c r="C14" s="45">
        <f>H13</f>
        <v/>
      </c>
      <c r="D14" s="45" t="n">
        <v>2</v>
      </c>
      <c r="E14" s="45">
        <f>C14-D14</f>
        <v/>
      </c>
      <c r="F14" s="45">
        <f>D14-1</f>
        <v/>
      </c>
      <c r="G14" s="45" t="n">
        <v>0</v>
      </c>
      <c r="H14" s="46">
        <f>C14-F14-G14</f>
        <v/>
      </c>
    </row>
    <row r="15">
      <c r="B15" s="41">
        <f>B14+1</f>
        <v/>
      </c>
      <c r="C15" s="45">
        <f>H14</f>
        <v/>
      </c>
      <c r="D15" s="59" t="n">
        <v>3</v>
      </c>
      <c r="E15" s="45">
        <f>C15-D15</f>
        <v/>
      </c>
      <c r="F15" s="45">
        <f>D15-1</f>
        <v/>
      </c>
      <c r="G15" s="45" t="n">
        <v>1</v>
      </c>
      <c r="H15" s="46">
        <f>C15-F15-G15</f>
        <v/>
      </c>
    </row>
    <row r="16">
      <c r="B16" s="41">
        <f>B15+1</f>
        <v/>
      </c>
      <c r="C16" s="45">
        <f>H15</f>
        <v/>
      </c>
      <c r="D16" s="45" t="n">
        <v>0</v>
      </c>
      <c r="E16" s="45">
        <f>C16-D16</f>
        <v/>
      </c>
      <c r="F16" s="45" t="n">
        <v>0</v>
      </c>
      <c r="G16" s="45" t="n">
        <v>1</v>
      </c>
      <c r="H16" s="46">
        <f>C16-F16-G16</f>
        <v/>
      </c>
    </row>
    <row r="17">
      <c r="B17" s="41">
        <f>B16+1</f>
        <v/>
      </c>
      <c r="C17" s="45">
        <f>H16</f>
        <v/>
      </c>
      <c r="D17" s="45" t="n">
        <v>0</v>
      </c>
      <c r="E17" s="45">
        <f>C17-D17</f>
        <v/>
      </c>
      <c r="F17" s="45" t="n">
        <v>0</v>
      </c>
      <c r="G17" s="45" t="n">
        <v>1</v>
      </c>
      <c r="H17" s="46">
        <f>C17-F17-G17</f>
        <v/>
      </c>
    </row>
    <row r="18">
      <c r="B18" s="41">
        <f>B17+1</f>
        <v/>
      </c>
      <c r="C18" s="45">
        <f>H17</f>
        <v/>
      </c>
      <c r="D18" s="45" t="n">
        <v>0</v>
      </c>
      <c r="E18" s="45">
        <f>C18-D18</f>
        <v/>
      </c>
      <c r="F18" s="45" t="n">
        <v>0</v>
      </c>
      <c r="G18" s="45" t="n">
        <v>1</v>
      </c>
      <c r="H18" s="46">
        <f>C18-F18-G18</f>
        <v/>
      </c>
    </row>
    <row r="19">
      <c r="B19" s="41">
        <f>B18+1</f>
        <v/>
      </c>
      <c r="C19" s="45">
        <f>H18</f>
        <v/>
      </c>
      <c r="D19" s="45" t="n">
        <v>0</v>
      </c>
      <c r="E19" s="45">
        <f>C19-D19</f>
        <v/>
      </c>
      <c r="F19" s="45" t="n">
        <v>0</v>
      </c>
      <c r="G19" s="45" t="n">
        <v>1</v>
      </c>
      <c r="H19" s="46">
        <f>C19-F19-G19</f>
        <v/>
      </c>
    </row>
    <row r="20">
      <c r="B20" s="61">
        <f>B19+1</f>
        <v/>
      </c>
      <c r="C20" s="63">
        <f>H19</f>
        <v/>
      </c>
      <c r="D20" s="63" t="n">
        <v>0</v>
      </c>
      <c r="E20" s="63">
        <f>C20-D20</f>
        <v/>
      </c>
      <c r="F20" s="63" t="n">
        <v>0</v>
      </c>
      <c r="G20" s="63" t="n">
        <v>1</v>
      </c>
      <c r="H20" s="64">
        <f>C20-F20-G20</f>
        <v/>
      </c>
      <c r="I20" s="5" t="inlineStr">
        <is>
          <t>Winner</t>
        </is>
      </c>
    </row>
  </sheetData>
  <mergeCells count="1"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2026-08-27T16:02:51Z</dcterms:created>
  <dcterms:modified xsi:type="dcterms:W3CDTF">2026-08-27T16:02:51Z</dcterms:modified>
</cp:coreProperties>
</file>